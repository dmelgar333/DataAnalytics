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mymelgar\Documents\DataAnalytics\week-01\week-01\"/>
    </mc:Choice>
  </mc:AlternateContent>
  <xr:revisionPtr revIDLastSave="0" documentId="13_ncr:1_{580A1E82-B7F8-49AA-B5E8-40FEB970425F}" xr6:coauthVersionLast="47" xr6:coauthVersionMax="47" xr10:uidLastSave="{00000000-0000-0000-0000-000000000000}"/>
  <bookViews>
    <workbookView xWindow="588" yWindow="384" windowWidth="22428" windowHeight="12324" activeTab="2" xr2:uid="{742E2233-E438-42E4-9138-510D1F8CFD37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8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<sst xmlns="http://schemas.openxmlformats.org/spreadsheetml/2006/main" count="154" uniqueCount="68">
  <si>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</si>
  <si>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</si>
  <si>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</si>
  <si>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</si>
  <si>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</si>
  <si>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</si>
  <si>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</si>
  <si>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</si>
  <si>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</si>
  <si>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</si>
  <si>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</si>
  <si>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</si>
  <si>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</si>
  <si>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</si>
  <si>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</si>
  <si>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</si>
  <si>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</si>
  <si>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</si>
  <si>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</si>
  <si>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</si>
  <si>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</si>
  <si>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</si>
  <si>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</si>
  <si>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</si>
  <si>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</si>
  <si>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</si>
  <si>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</si>
  <si>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</si>
  <si>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</si>
  <si>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</si>
  <si>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</si>
  <si>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</si>
  <si>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</si>
  <si>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</si>
  <si>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</si>
  <si>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</si>
  <si>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</si>
  <si>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</si>
  <si>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</si>
  <si>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</si>
  <si>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</si>
  <si>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</si>
  <si>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</si>
  <si>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</si>
  <si>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</si>
  <si>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</si>
  <si>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</si>
  <si>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</si>
  <si>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</si>
  <si>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</si>
  <si>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</si>
  <si>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</si>
  <si>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</si>
  <si>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</si>
  <si>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</si>
  <si>
    <t>(2/1/24 - 2/28/25)</t>
  </si>
  <si>
    <t>Hamburger</t>
  </si>
  <si>
    <t>Milkshake</t>
  </si>
  <si>
    <t>Breakup</t>
  </si>
  <si>
    <t>State</t>
  </si>
  <si>
    <t>Sales Region</t>
  </si>
  <si>
    <t>North 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</si>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</sst>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1" fillId="11" borderId="0" xfId="20"/>
    <xf numFmtId="0" fontId="0" fillId="33" borderId="0" xfId="0" applyFill="1"/>
    <xf numFmtId="0" fontId="0" fillId="0" borderId="0" xfId="0" applyAlignment="1">
      <alignment wrapText="1"/>
    </xf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0.67</c:v>
                </c:pt>
                <c:pt idx="3">
                  <c:v>0.75</c:v>
                </c:pt>
                <c:pt idx="4">
                  <c:v>0.71</c:v>
                </c:pt>
                <c:pt idx="5">
                  <c:v>0.69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A-444D-B13C-527D4D6DE807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9A-444D-B13C-527D4D6DE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167551"/>
        <c:axId val="750178591"/>
      </c:barChart>
      <c:catAx>
        <c:axId val="75016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78591"/>
        <c:crosses val="autoZero"/>
        <c:auto val="1"/>
        <c:lblAlgn val="ctr"/>
        <c:lblOffset val="100"/>
        <c:noMultiLvlLbl val="0"/>
      </c:catAx>
      <c:valAx>
        <c:axId val="75017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6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205740</xdr:colOff>
      <xdr:row>1</xdr:row>
      <xdr:rowOff>95250</xdr:rowOff>
    </xdr:from>
    <xdr:to>
      <xdr:col>16</xdr:col>
      <xdr:colOff>60960</xdr:colOff>
      <xdr:row>16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9FBE85-399E-4922-D340-A74525227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my melgar" refreshedDate="46125.445726157406" createdVersion="8" refreshedVersion="8" minRefreshableVersion="3" recordCount="10" xr:uid="{379A7076-D94C-4FA1-8E2E-99AE612AF932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 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2"/>
  </r>
  <r>
    <x v="3"/>
    <x v="0"/>
    <n v="0.75"/>
    <n v="0.14000000000000001"/>
  </r>
  <r>
    <x v="4"/>
    <x v="1"/>
    <n v="0.69"/>
    <n v="0.19"/>
  </r>
  <r>
    <x v="5"/>
    <x v="1"/>
    <n v="0.76"/>
    <n v="0.14000000000000001"/>
  </r>
  <r>
    <x v="6"/>
    <x v="1"/>
    <n v="0.71"/>
    <n v="0.17"/>
  </r>
  <r>
    <x v="7"/>
    <x v="1"/>
    <n v="0.67"/>
    <n v="0.19"/>
  </r>
  <r>
    <x v="8"/>
    <x v="1"/>
    <n v="0.66"/>
    <n v="0.2"/>
  </r>
  <r>
    <x v="9"/>
    <x v="1"/>
    <n v="0.66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C67AE-709C-42A3-A207-3C74CA707E2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0872-9012-453D-92A5-DDE867D37B90}">
  <dimension ref="A1:K52"/>
  <sheetViews>
    <sheetView workbookViewId="0">
      <pane ySplit="1" topLeftCell="A34" activePane="bottomLeft" state="frozen"/>
      <selection pane="bottomLeft" activeCell="C2" sqref="C2:C52"/>
    </sheetView>
  </sheetViews>
  <sheetFormatPr defaultRowHeight="14.4" x14ac:dyDescent="0.3"/>
  <cols>
    <col min="1" max="1" width="10.6640625" customWidth="1"/>
    <col min="2" max="2" width="20" customWidth="1"/>
    <col min="3" max="3" width="13.5546875" customWidth="1"/>
    <col min="4" max="4" width="13.109375" customWidth="1"/>
    <col min="5" max="5" width="12.109375" customWidth="1"/>
    <col min="7" max="7" width="10.109375" customWidth="1"/>
    <col min="10" max="10" width="10.88671875" customWidth="1"/>
    <col min="11" max="11" width="16.21875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16</v>
      </c>
      <c r="C4" s="1">
        <v>0.67</v>
      </c>
      <c r="D4" s="1">
        <v>0.2</v>
      </c>
      <c r="E4" s="1">
        <v>0.13</v>
      </c>
    </row>
    <row r="5" spans="1:11" x14ac:dyDescent="0.3">
      <c r="A5">
        <v>4</v>
      </c>
      <c r="B5" t="s">
        <v>15</v>
      </c>
      <c r="C5" s="1">
        <v>0.67</v>
      </c>
      <c r="D5" s="1">
        <v>0.21</v>
      </c>
      <c r="E5" s="1">
        <v>0.12</v>
      </c>
    </row>
    <row r="6" spans="1:11" x14ac:dyDescent="0.3">
      <c r="A6">
        <v>5</v>
      </c>
      <c r="B6" t="s">
        <v>31</v>
      </c>
      <c r="C6" s="1">
        <v>0.62</v>
      </c>
      <c r="D6" s="1">
        <v>0.2</v>
      </c>
      <c r="E6" s="1">
        <v>0.18</v>
      </c>
    </row>
    <row r="7" spans="1:11" x14ac:dyDescent="0.3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3">
      <c r="A9">
        <v>8</v>
      </c>
      <c r="B9" t="s">
        <v>8</v>
      </c>
      <c r="C9" s="1">
        <v>0.62</v>
      </c>
      <c r="D9" s="1">
        <v>0.25</v>
      </c>
      <c r="E9" s="1">
        <v>0.13</v>
      </c>
    </row>
    <row r="10" spans="1:11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29</v>
      </c>
      <c r="C11" s="1">
        <v>0.64</v>
      </c>
      <c r="D11" s="1">
        <v>0.22</v>
      </c>
      <c r="E11" s="1">
        <v>0.14000000000000001</v>
      </c>
    </row>
    <row r="12" spans="1:11" x14ac:dyDescent="0.3">
      <c r="A12">
        <v>11</v>
      </c>
      <c r="B12" t="s">
        <v>11</v>
      </c>
      <c r="C12" s="1">
        <v>0.62</v>
      </c>
      <c r="D12" s="1">
        <v>0.24</v>
      </c>
      <c r="E12" s="1">
        <v>0.14000000000000001</v>
      </c>
    </row>
    <row r="13" spans="1:11" x14ac:dyDescent="0.3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4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5</v>
      </c>
      <c r="C19" s="1">
        <v>0.65</v>
      </c>
      <c r="D19" s="1">
        <v>0.22</v>
      </c>
      <c r="E19" s="1">
        <v>0.13</v>
      </c>
    </row>
    <row r="20" spans="1:5" x14ac:dyDescent="0.3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3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18</v>
      </c>
      <c r="C24" s="1">
        <v>0.66</v>
      </c>
      <c r="D24" s="1">
        <v>0.21</v>
      </c>
      <c r="E24" s="1">
        <v>0.13</v>
      </c>
    </row>
    <row r="25" spans="1:5" x14ac:dyDescent="0.3">
      <c r="A25">
        <v>24</v>
      </c>
      <c r="B25" t="s">
        <v>41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38</v>
      </c>
      <c r="C29" s="1">
        <v>0.71</v>
      </c>
      <c r="D29" s="1">
        <v>0.17</v>
      </c>
      <c r="E29" s="1">
        <v>0.12</v>
      </c>
    </row>
    <row r="30" spans="1:5" x14ac:dyDescent="0.3">
      <c r="A30">
        <v>29</v>
      </c>
      <c r="B30" t="s">
        <v>13</v>
      </c>
      <c r="C30" s="1">
        <v>0.65</v>
      </c>
      <c r="D30" s="1">
        <v>0.2</v>
      </c>
      <c r="E30" s="1">
        <v>0.15</v>
      </c>
    </row>
    <row r="31" spans="1:5" x14ac:dyDescent="0.3">
      <c r="A31">
        <v>30</v>
      </c>
      <c r="B31" t="s">
        <v>42</v>
      </c>
      <c r="C31" s="1">
        <v>0.65</v>
      </c>
      <c r="D31" s="1">
        <v>0.21</v>
      </c>
      <c r="E31" s="1">
        <v>0.14000000000000001</v>
      </c>
    </row>
    <row r="32" spans="1:5" x14ac:dyDescent="0.3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35</v>
      </c>
      <c r="C33" s="1">
        <v>0.65</v>
      </c>
      <c r="D33" s="1">
        <v>0.21</v>
      </c>
      <c r="E33" s="1">
        <v>0.14000000000000001</v>
      </c>
    </row>
    <row r="34" spans="1:5" x14ac:dyDescent="0.3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14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10</v>
      </c>
      <c r="C38" s="1">
        <v>0.69</v>
      </c>
      <c r="D38" s="1">
        <v>0.2</v>
      </c>
      <c r="E38" s="1">
        <v>0.11</v>
      </c>
    </row>
    <row r="39" spans="1:5" x14ac:dyDescent="0.3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0.67</v>
      </c>
      <c r="D44" s="1">
        <v>0.21</v>
      </c>
      <c r="E44" s="1">
        <v>0.12</v>
      </c>
    </row>
    <row r="45" spans="1:5" x14ac:dyDescent="0.3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47</v>
      </c>
      <c r="C47" s="1">
        <v>0.68</v>
      </c>
      <c r="D47" s="1">
        <v>0.18</v>
      </c>
      <c r="E47" s="1">
        <v>0.14000000000000001</v>
      </c>
    </row>
    <row r="48" spans="1:5" x14ac:dyDescent="0.3">
      <c r="A48">
        <v>47</v>
      </c>
      <c r="B48" t="s">
        <v>21</v>
      </c>
      <c r="C48" s="1">
        <v>0.64</v>
      </c>
      <c r="D48" s="1">
        <v>0.22</v>
      </c>
      <c r="E48" s="1">
        <v>0.14000000000000001</v>
      </c>
    </row>
    <row r="49" spans="1:5" x14ac:dyDescent="0.3">
      <c r="A49">
        <v>48</v>
      </c>
      <c r="B49" t="s">
        <v>40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7</v>
      </c>
      <c r="C50" s="1">
        <v>0.64</v>
      </c>
      <c r="D50" s="1">
        <v>0.24</v>
      </c>
      <c r="E50" s="1">
        <v>0.12</v>
      </c>
    </row>
    <row r="51" spans="1:5" x14ac:dyDescent="0.3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14590872-9012-453D-92A5-DDE867D37B9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8921-C1E1-4517-8137-50B28686F374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B1" sqref="AB1"/>
    </sheetView>
  </sheetViews>
  <sheetFormatPr defaultRowHeight="14.4" x14ac:dyDescent="0.3"/>
  <sheetData>
    <row r="1" spans="1:52" x14ac:dyDescent="0.3">
      <c r="A1" t="s">
        <v>0</v>
      </c>
      <c r="B1" t="s">
        <v>6</v>
      </c>
      <c r="C1" t="s">
        <v>50</v>
      </c>
      <c r="D1" t="s">
        <v>16</v>
      </c>
      <c r="E1" t="s">
        <v>15</v>
      </c>
      <c r="F1" t="s">
        <v>31</v>
      </c>
      <c r="G1" t="s">
        <v>39</v>
      </c>
      <c r="H1" t="s">
        <v>26</v>
      </c>
      <c r="I1" t="s">
        <v>8</v>
      </c>
      <c r="J1" t="s">
        <v>51</v>
      </c>
      <c r="K1" t="s">
        <v>29</v>
      </c>
      <c r="L1" t="s">
        <v>11</v>
      </c>
      <c r="M1" t="s">
        <v>48</v>
      </c>
      <c r="N1" t="s">
        <v>20</v>
      </c>
      <c r="O1" t="s">
        <v>12</v>
      </c>
      <c r="P1" t="s">
        <v>4</v>
      </c>
      <c r="Q1" t="s">
        <v>34</v>
      </c>
      <c r="R1" t="s">
        <v>23</v>
      </c>
      <c r="S1" t="s">
        <v>5</v>
      </c>
      <c r="T1" t="s">
        <v>30</v>
      </c>
      <c r="U1" t="s">
        <v>45</v>
      </c>
      <c r="V1" t="s">
        <v>28</v>
      </c>
      <c r="W1" t="s">
        <v>43</v>
      </c>
      <c r="X1" t="s">
        <v>18</v>
      </c>
      <c r="Y1" t="s">
        <v>41</v>
      </c>
      <c r="Z1" t="s">
        <v>24</v>
      </c>
      <c r="AA1" t="s">
        <v>27</v>
      </c>
      <c r="AB1" t="s">
        <v>49</v>
      </c>
      <c r="AC1" t="s">
        <v>38</v>
      </c>
      <c r="AD1" t="s">
        <v>13</v>
      </c>
      <c r="AE1" t="s">
        <v>42</v>
      </c>
      <c r="AF1" t="s">
        <v>19</v>
      </c>
      <c r="AG1" t="s">
        <v>35</v>
      </c>
      <c r="AH1" t="s">
        <v>37</v>
      </c>
      <c r="AI1" t="s">
        <v>2</v>
      </c>
      <c r="AJ1" t="s">
        <v>33</v>
      </c>
      <c r="AK1" t="s">
        <v>14</v>
      </c>
      <c r="AL1" t="s">
        <v>10</v>
      </c>
      <c r="AM1" t="s">
        <v>36</v>
      </c>
      <c r="AN1" t="s">
        <v>17</v>
      </c>
      <c r="AO1" t="s">
        <v>22</v>
      </c>
      <c r="AP1" t="s">
        <v>1</v>
      </c>
      <c r="AQ1" t="s">
        <v>44</v>
      </c>
      <c r="AR1" t="s">
        <v>3</v>
      </c>
      <c r="AS1" t="s">
        <v>25</v>
      </c>
      <c r="AT1" t="s">
        <v>9</v>
      </c>
      <c r="AU1" t="s">
        <v>47</v>
      </c>
      <c r="AV1" t="s">
        <v>21</v>
      </c>
      <c r="AW1" t="s">
        <v>40</v>
      </c>
      <c r="AX1" t="s">
        <v>7</v>
      </c>
      <c r="AY1" t="s">
        <v>32</v>
      </c>
      <c r="AZ1" t="s">
        <v>46</v>
      </c>
    </row>
    <row r="2" spans="1:52" x14ac:dyDescent="0.3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0.62</v>
      </c>
      <c r="G2" s="1">
        <v>0.68</v>
      </c>
      <c r="H2" s="1">
        <v>0.65</v>
      </c>
      <c r="I2" s="1">
        <v>0.62</v>
      </c>
      <c r="J2" s="1">
        <v>0.67</v>
      </c>
      <c r="K2" s="1">
        <v>0.64</v>
      </c>
      <c r="L2" s="1">
        <v>0.62</v>
      </c>
      <c r="M2" s="1">
        <v>0.73</v>
      </c>
      <c r="N2" s="1">
        <v>0.67</v>
      </c>
      <c r="O2" s="1">
        <v>0.63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0.62</v>
      </c>
      <c r="W2" s="1">
        <v>0.62</v>
      </c>
      <c r="X2" s="1">
        <v>0.66</v>
      </c>
      <c r="Y2" s="1">
        <v>0.67</v>
      </c>
      <c r="Z2" s="1">
        <v>0.69</v>
      </c>
      <c r="AA2" s="1">
        <v>0.67</v>
      </c>
      <c r="AB2" s="1">
        <v>0.75</v>
      </c>
      <c r="AC2" s="1">
        <v>0.71</v>
      </c>
      <c r="AD2" s="1">
        <v>0.65</v>
      </c>
      <c r="AE2" s="1">
        <v>0.65</v>
      </c>
      <c r="AF2" s="1">
        <v>0.61</v>
      </c>
      <c r="AG2" s="1">
        <v>0.65</v>
      </c>
      <c r="AH2" s="1">
        <v>0.62</v>
      </c>
      <c r="AI2" s="1">
        <v>0.63</v>
      </c>
      <c r="AJ2" s="1">
        <v>0.69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0.67</v>
      </c>
      <c r="AQ2" s="1">
        <v>0.76</v>
      </c>
      <c r="AR2" s="1">
        <v>0.67</v>
      </c>
      <c r="AS2" s="1">
        <v>0.67</v>
      </c>
      <c r="AT2" s="1">
        <v>0.65</v>
      </c>
      <c r="AU2" s="1">
        <v>0.68</v>
      </c>
      <c r="AV2" s="1">
        <v>0.64</v>
      </c>
      <c r="AW2" s="1">
        <v>0.67</v>
      </c>
      <c r="AX2" s="1">
        <v>0.64</v>
      </c>
      <c r="AY2" s="1">
        <v>0.66</v>
      </c>
      <c r="AZ2" s="1">
        <v>0.71</v>
      </c>
    </row>
    <row r="3" spans="1:52" x14ac:dyDescent="0.3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0.21</v>
      </c>
      <c r="I3" s="1">
        <v>0.25</v>
      </c>
      <c r="J3" s="1">
        <v>0.17</v>
      </c>
      <c r="K3" s="1">
        <v>0.22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0.19</v>
      </c>
      <c r="S3" s="1">
        <v>0.22</v>
      </c>
      <c r="T3" s="1">
        <v>0.2</v>
      </c>
      <c r="U3" s="1">
        <v>0.17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0.21</v>
      </c>
      <c r="AF3" s="1">
        <v>0.23</v>
      </c>
      <c r="AG3" s="1">
        <v>0.21</v>
      </c>
      <c r="AH3" s="1">
        <v>0.21</v>
      </c>
      <c r="AI3" s="1">
        <v>0.24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0.18</v>
      </c>
      <c r="AV3" s="1">
        <v>0.22</v>
      </c>
      <c r="AW3" s="1">
        <v>0.19</v>
      </c>
      <c r="AX3" s="1">
        <v>0.24</v>
      </c>
      <c r="AY3" s="1">
        <v>0.2</v>
      </c>
      <c r="AZ3" s="1">
        <v>0.16</v>
      </c>
    </row>
    <row r="4" spans="1:52" x14ac:dyDescent="0.3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30BA-9641-4007-B6C0-3D50E61AA65C}">
  <dimension ref="A1:D26"/>
  <sheetViews>
    <sheetView tabSelected="1" workbookViewId="0">
      <selection activeCell="A15" sqref="A15"/>
    </sheetView>
  </sheetViews>
  <sheetFormatPr defaultRowHeight="14.4" x14ac:dyDescent="0.3"/>
  <cols>
    <col min="1" max="1" width="12.5546875" bestFit="1" customWidth="1"/>
    <col min="2" max="2" width="17" bestFit="1" customWidth="1"/>
    <col min="3" max="3" width="16.109375" bestFit="1" customWidth="1"/>
    <col min="4" max="4" width="9.5546875" customWidth="1"/>
  </cols>
  <sheetData>
    <row r="1" spans="1:4" x14ac:dyDescent="0.3">
      <c r="A1" s="4" t="s">
        <v>59</v>
      </c>
      <c r="B1" t="s">
        <v>60</v>
      </c>
      <c r="C1" t="s">
        <v>56</v>
      </c>
      <c r="D1" t="s">
        <v>57</v>
      </c>
    </row>
    <row r="2" spans="1:4" x14ac:dyDescent="0.3">
      <c r="A2" s="4" t="s">
        <v>40</v>
      </c>
      <c r="B2" t="s">
        <v>61</v>
      </c>
      <c r="C2" s="5">
        <f>VLOOKUP('Sales region lookup'!A2, 'By search term'!B:C, 2, FALSE)</f>
        <v>0.67</v>
      </c>
      <c r="D2" s="5">
        <f>_xlfn.XLOOKUP(A2, 'By search term'!B1:B52, 'By search term'!D1:D52, "not found")</f>
        <v>0.19</v>
      </c>
    </row>
    <row r="3" spans="1:4" x14ac:dyDescent="0.3">
      <c r="A3" t="s">
        <v>36</v>
      </c>
      <c r="B3" t="s">
        <v>61</v>
      </c>
      <c r="C3" s="5">
        <f>VLOOKUP('Sales region lookup'!A3, 'By search term'!B:C, 2, FALSE)</f>
        <v>0.68</v>
      </c>
      <c r="D3" s="5">
        <f>_xlfn.XLOOKUP(A3, 'By search term'!B2:B53, 'By search term'!D2:D53, "not found")</f>
        <v>0.18</v>
      </c>
    </row>
    <row r="4" spans="1:4" x14ac:dyDescent="0.3">
      <c r="A4" t="s">
        <v>20</v>
      </c>
      <c r="B4" t="s">
        <v>61</v>
      </c>
      <c r="C4" s="5">
        <f>VLOOKUP('Sales region lookup'!A4, 'By search term'!B:C, 2, FALSE)</f>
        <v>0.67</v>
      </c>
      <c r="D4" s="5">
        <f>_xlfn.XLOOKUP(A4, 'By search term'!B3:B54, 'By search term'!D3:D54, "not found")</f>
        <v>0.2</v>
      </c>
    </row>
    <row r="5" spans="1:4" x14ac:dyDescent="0.3">
      <c r="A5" t="s">
        <v>49</v>
      </c>
      <c r="B5" t="s">
        <v>61</v>
      </c>
      <c r="C5" s="5">
        <f>VLOOKUP('Sales region lookup'!A5, 'By search term'!B:C, 2, FALSE)</f>
        <v>0.75</v>
      </c>
      <c r="D5" s="5">
        <f>_xlfn.XLOOKUP(A5, 'By search term'!B4:B55, 'By search term'!D4:D55, "not found")</f>
        <v>0.14000000000000001</v>
      </c>
    </row>
    <row r="6" spans="1:4" x14ac:dyDescent="0.3">
      <c r="A6" t="s">
        <v>33</v>
      </c>
      <c r="B6" t="s">
        <v>62</v>
      </c>
      <c r="C6" s="5">
        <f>VLOOKUP('Sales region lookup'!A6, 'By search term'!B:C, 2, FALSE)</f>
        <v>0.69</v>
      </c>
      <c r="D6" s="5">
        <f>_xlfn.XLOOKUP(A6, 'By search term'!B5:B56, 'By search term'!D5:D56, "not found")</f>
        <v>0.19</v>
      </c>
    </row>
    <row r="7" spans="1:4" x14ac:dyDescent="0.3">
      <c r="A7" t="s">
        <v>44</v>
      </c>
      <c r="B7" t="s">
        <v>62</v>
      </c>
      <c r="C7" s="5">
        <f>VLOOKUP('Sales region lookup'!A7, 'By search term'!B:C, 2, FALSE)</f>
        <v>0.76</v>
      </c>
      <c r="D7" s="5">
        <f>_xlfn.XLOOKUP(A7, 'By search term'!B6:B57, 'By search term'!D6:D57, "not found")</f>
        <v>0.14000000000000001</v>
      </c>
    </row>
    <row r="8" spans="1:4" x14ac:dyDescent="0.3">
      <c r="A8" t="s">
        <v>38</v>
      </c>
      <c r="B8" t="s">
        <v>62</v>
      </c>
      <c r="C8" s="5">
        <f>VLOOKUP('Sales region lookup'!A8, 'By search term'!B:C, 2, FALSE)</f>
        <v>0.71</v>
      </c>
      <c r="D8" s="5">
        <f>_xlfn.XLOOKUP(A8, 'By search term'!B7:B58, 'By search term'!D7:D58, "not found")</f>
        <v>0.17</v>
      </c>
    </row>
    <row r="9" spans="1:4" x14ac:dyDescent="0.3">
      <c r="A9" t="s">
        <v>41</v>
      </c>
      <c r="B9" t="s">
        <v>62</v>
      </c>
      <c r="C9" s="5">
        <f>VLOOKUP('Sales region lookup'!A9, 'By search term'!B:C, 2, FALSE)</f>
        <v>0.67</v>
      </c>
      <c r="D9" s="5">
        <f>_xlfn.XLOOKUP(A9, 'By search term'!B8:B59, 'By search term'!D8:D59, "not found")</f>
        <v>0.19</v>
      </c>
    </row>
    <row r="10" spans="1:4" x14ac:dyDescent="0.3">
      <c r="A10" t="s">
        <v>32</v>
      </c>
      <c r="B10" t="s">
        <v>62</v>
      </c>
      <c r="C10" s="5">
        <f>VLOOKUP('Sales region lookup'!A10, 'By search term'!B:C, 2, FALSE)</f>
        <v>0.66</v>
      </c>
      <c r="D10" s="5">
        <f>_xlfn.XLOOKUP(A10, 'By search term'!B9:B60, 'By search term'!D9:D60, "not found")</f>
        <v>0.2</v>
      </c>
    </row>
    <row r="11" spans="1:4" x14ac:dyDescent="0.3">
      <c r="A11" t="s">
        <v>18</v>
      </c>
      <c r="B11" t="s">
        <v>62</v>
      </c>
      <c r="C11" s="5">
        <f>VLOOKUP('Sales region lookup'!A11, 'By search term'!B:C, 2, FALSE)</f>
        <v>0.66</v>
      </c>
      <c r="D11" s="5">
        <f>_xlfn.XLOOKUP(A11, 'By search term'!B10:B61, 'By search term'!D10:D61, "not found")</f>
        <v>0.21</v>
      </c>
    </row>
    <row r="13" spans="1:4" x14ac:dyDescent="0.3">
      <c r="A13" s="6" t="s">
        <v>60</v>
      </c>
      <c r="B13" t="s">
        <v>67</v>
      </c>
    </row>
    <row r="15" spans="1:4" x14ac:dyDescent="0.3">
      <c r="A15" s="6" t="s">
        <v>63</v>
      </c>
      <c r="B15" t="s">
        <v>65</v>
      </c>
      <c r="C15" t="s">
        <v>66</v>
      </c>
    </row>
    <row r="16" spans="1:4" x14ac:dyDescent="0.3">
      <c r="A16" s="7" t="s">
        <v>20</v>
      </c>
      <c r="B16" s="1">
        <v>0.67</v>
      </c>
      <c r="C16" s="1">
        <v>0.2</v>
      </c>
    </row>
    <row r="17" spans="1:3" ht="9" customHeight="1" x14ac:dyDescent="0.3">
      <c r="A17" s="7" t="s">
        <v>18</v>
      </c>
      <c r="B17" s="1">
        <v>0.66</v>
      </c>
      <c r="C17" s="1">
        <v>0.21</v>
      </c>
    </row>
    <row r="18" spans="1:3" hidden="1" x14ac:dyDescent="0.3">
      <c r="A18" s="7" t="s">
        <v>41</v>
      </c>
      <c r="B18" s="1">
        <v>0.67</v>
      </c>
      <c r="C18" s="1">
        <v>0.19</v>
      </c>
    </row>
    <row r="19" spans="1:3" hidden="1" x14ac:dyDescent="0.3">
      <c r="A19" s="7" t="s">
        <v>49</v>
      </c>
      <c r="B19" s="1">
        <v>0.75</v>
      </c>
      <c r="C19" s="1">
        <v>0.14000000000000001</v>
      </c>
    </row>
    <row r="20" spans="1:3" hidden="1" x14ac:dyDescent="0.3">
      <c r="A20" s="7" t="s">
        <v>38</v>
      </c>
      <c r="B20" s="1">
        <v>0.71</v>
      </c>
      <c r="C20" s="1">
        <v>0.17</v>
      </c>
    </row>
    <row r="21" spans="1:3" hidden="1" x14ac:dyDescent="0.3">
      <c r="A21" s="7" t="s">
        <v>33</v>
      </c>
      <c r="B21" s="1">
        <v>0.69</v>
      </c>
      <c r="C21" s="1">
        <v>0.19</v>
      </c>
    </row>
    <row r="22" spans="1:3" hidden="1" x14ac:dyDescent="0.3">
      <c r="A22" s="7" t="s">
        <v>36</v>
      </c>
      <c r="B22" s="1">
        <v>0.68</v>
      </c>
      <c r="C22" s="1">
        <v>0.18</v>
      </c>
    </row>
    <row r="23" spans="1:3" x14ac:dyDescent="0.3">
      <c r="A23" s="7" t="s">
        <v>44</v>
      </c>
      <c r="B23" s="1">
        <v>0.76</v>
      </c>
      <c r="C23" s="1">
        <v>0.14000000000000001</v>
      </c>
    </row>
    <row r="24" spans="1:3" x14ac:dyDescent="0.3">
      <c r="A24" s="7" t="s">
        <v>40</v>
      </c>
      <c r="B24" s="1">
        <v>0.67</v>
      </c>
      <c r="C24" s="1">
        <v>0.19</v>
      </c>
    </row>
    <row r="25" spans="1:3" x14ac:dyDescent="0.3">
      <c r="A25" s="7" t="s">
        <v>32</v>
      </c>
      <c r="B25" s="1">
        <v>0.66</v>
      </c>
      <c r="C25" s="1">
        <v>0.2</v>
      </c>
    </row>
    <row r="26" spans="1:3" x14ac:dyDescent="0.3">
      <c r="A26" s="7" t="s">
        <v>64</v>
      </c>
      <c r="B26" s="1">
        <v>6.92</v>
      </c>
      <c r="C26" s="1">
        <v>1.8099999999999998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demy melgar</dc:creator>
  <cp:keywords/>
  <dc:description/>
  <cp:lastModifiedBy>demy melgar</cp:lastModifiedBy>
  <cp:revision/>
  <dcterms:created xsi:type="dcterms:W3CDTF">2026-04-09T00:26:30Z</dcterms:created>
  <dcterms:modified xsi:type="dcterms:W3CDTF">2026-04-13T14:47:11Z</dcterms:modified>
  <cp:category/>
  <cp:contentStatus/>
</cp:coreProperties>
</file>