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mymelgar\Documents\DataAnalytics\week-01\"/>
    </mc:Choice>
  </mc:AlternateContent>
  <xr:revisionPtr revIDLastSave="0" documentId="8_{40689758-12E3-41C3-92BD-68221BAE71A4}" xr6:coauthVersionLast="47" xr6:coauthVersionMax="47" xr10:uidLastSave="{00000000-0000-0000-0000-000000000000}"/>
  <bookViews>
    <workbookView xWindow="588" yWindow="384" windowWidth="22428" windowHeight="12324" activeTab="2" xr2:uid="{742E2233-E438-42E4-9138-510D1F8CFD37}"/>
  </bookViews>
  <sheets>
    <sheet name="By search term" sheetId="1" r:id="rId1"/>
    <sheet name="By state" sheetId="2" r:id="rId2"/>
    <sheet name="Sales region lookup" sheetId="3" r:id="rId3"/>
  </sheets>
  <definedNames>
    <definedName name="_xlnm._FilterDatabase" localSheetId="0" hidden="1">'By search term'!$A$1:$E$52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<sst xmlns="http://schemas.openxmlformats.org/spreadsheetml/2006/main" count="154" uniqueCount="68">
  <si>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</si>
  <si>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</si>
  <si>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</si>
  <si>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</si>
  <si>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</si>
  <si>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</si>
  <si>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</si>
  <si>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</si>
  <si>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</si>
  <si>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</si>
  <si>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</si>
  <si>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</si>
  <si>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</si>
  <si>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</si>
  <si>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</si>
  <si>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</si>
  <si>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</si>
  <si>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</si>
  <si>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</si>
  <si>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</si>
  <si>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</si>
  <si>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</si>
  <si>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</si>
  <si>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</si>
  <si>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</si>
  <si>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</si>
  <si>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</si>
  <si>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</si>
  <si>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</si>
  <si>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</si>
  <si>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</si>
  <si>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</si>
  <si>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</si>
  <si>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</si>
  <si>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</si>
  <si>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</si>
  <si>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</si>
  <si>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</si>
  <si>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</si>
  <si>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</si>
  <si>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</si>
  <si>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</si>
  <si>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</si>
  <si>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</si>
  <si>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</si>
  <si>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</si>
  <si>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</si>
  <si>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</si>
  <si>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</si>
  <si>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</si>
  <si>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</si>
  <si>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</si>
  <si>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</si>
  <si>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</si>
  <si>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</si>
  <si>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(2/1/24 - 2/28/25)</t>
  </si>
  <si>
    <t>Hamburger</t>
  </si>
  <si>
    <t>Milkshake</t>
  </si>
  <si>
    <t>Breakup</t>
  </si>
  <si>
    <t>State</t>
  </si>
  <si>
    <t>Sales Region</t>
  </si>
  <si>
    <t>North West</t>
  </si>
  <si>
    <t>North Central</t>
  </si>
  <si>
    <t>Row Labels</t>
  </si>
  <si>
    <t>Grand Total</t>
  </si>
  <si>
    <t>Sum of Hamburger</t>
  </si>
  <si>
    <t>Sum of Milkshake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</si>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</sst>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0" fontId="1" fillId="11" borderId="0" xfId="20"/>
    <xf numFmtId="0" fontId="0" fillId="33" borderId="0" xfId="0" applyFill="1"/>
    <xf numFmtId="0" fontId="0" fillId="0" borderId="0" xfId="0" applyAlignment="1">
      <alignment wrapText="1"/>
    </xf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lookup'!$B$15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lookup'!$B$16:$B$26</c:f>
              <c:numCache>
                <c:formatCode>0%</c:formatCode>
                <c:ptCount val="10"/>
                <c:pt idx="0">
                  <c:v>0.67</c:v>
                </c:pt>
                <c:pt idx="1">
                  <c:v>0.66</c:v>
                </c:pt>
                <c:pt idx="2">
                  <c:v>0.67</c:v>
                </c:pt>
                <c:pt idx="3">
                  <c:v>0.75</c:v>
                </c:pt>
                <c:pt idx="4">
                  <c:v>0.71</c:v>
                </c:pt>
                <c:pt idx="5">
                  <c:v>0.69</c:v>
                </c:pt>
                <c:pt idx="6">
                  <c:v>0.68</c:v>
                </c:pt>
                <c:pt idx="7">
                  <c:v>0.76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A-444D-B13C-527D4D6DE807}"/>
            </c:ext>
          </c:extLst>
        </c:ser>
        <c:ser>
          <c:idx val="1"/>
          <c:order val="1"/>
          <c:tx>
            <c:strRef>
              <c:f>'Sales region lookup'!$C$15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lookup'!$A$16:$A$26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lookup'!$C$16:$C$26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0.19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9A-444D-B13C-527D4D6DE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167551"/>
        <c:axId val="750178591"/>
      </c:barChart>
      <c:catAx>
        <c:axId val="75016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78591"/>
        <c:crosses val="autoZero"/>
        <c:auto val="1"/>
        <c:lblAlgn val="ctr"/>
        <c:lblOffset val="100"/>
        <c:noMultiLvlLbl val="0"/>
      </c:catAx>
      <c:valAx>
        <c:axId val="75017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6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1</xdr:row>
      <xdr:rowOff>95250</xdr:rowOff>
    </xdr:from>
    <xdr:to>
      <xdr:col>16</xdr:col>
      <xdr:colOff>60960</xdr:colOff>
      <xdr:row>16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9FBE85-399E-4922-D340-A74525227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my melgar" refreshedDate="46125.445726157406" createdVersion="8" refreshedVersion="8" minRefreshableVersion="3" recordCount="10" xr:uid="{379A7076-D94C-4FA1-8E2E-99AE612AF93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 West"/>
        <s v="North Central"/>
      </sharedItems>
    </cacheField>
    <cacheField name="Hamburger" numFmtId="9">
      <sharedItems containsSemiMixedTypes="0" containsString="0" containsNumber="1" minValue="0.66" maxValue="0.76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9"/>
  </r>
  <r>
    <x v="1"/>
    <x v="0"/>
    <n v="0.68"/>
    <n v="0.18"/>
  </r>
  <r>
    <x v="2"/>
    <x v="0"/>
    <n v="0.67"/>
    <n v="0.2"/>
  </r>
  <r>
    <x v="3"/>
    <x v="0"/>
    <n v="0.75"/>
    <n v="0.14000000000000001"/>
  </r>
  <r>
    <x v="4"/>
    <x v="1"/>
    <n v="0.69"/>
    <n v="0.19"/>
  </r>
  <r>
    <x v="5"/>
    <x v="1"/>
    <n v="0.76"/>
    <n v="0.14000000000000001"/>
  </r>
  <r>
    <x v="6"/>
    <x v="1"/>
    <n v="0.71"/>
    <n v="0.17"/>
  </r>
  <r>
    <x v="7"/>
    <x v="1"/>
    <n v="0.67"/>
    <n v="0.19"/>
  </r>
  <r>
    <x v="8"/>
    <x v="1"/>
    <n v="0.66"/>
    <n v="0.2"/>
  </r>
  <r>
    <x v="9"/>
    <x v="1"/>
    <n v="0.66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C67AE-709C-42A3-A207-3C74CA707E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5:C26" firstHeaderRow="0" firstDataRow="1" firstDataCol="1" rowPageCount="1" colPageCount="1"/>
  <pivotFields count="4">
    <pivotField axis="axisRow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showAll="0">
      <items count="3">
        <item x="1"/>
        <item x="0"/>
        <item t="default"/>
      </items>
    </pivotField>
    <pivotField dataField="1" numFmtId="9" showAll="0"/>
    <pivotField dataField="1" numFmtId="9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0872-9012-453D-92A5-DDE867D37B90}">
  <dimension ref="A1:K52"/>
  <sheetViews>
    <sheetView workbookViewId="0">
      <pane ySplit="1" topLeftCell="A34" activePane="bottomLeft" state="frozen"/>
      <selection pane="bottomLeft" activeCell="C2" sqref="C2:C52"/>
    </sheetView>
  </sheetViews>
  <sheetFormatPr defaultRowHeight="14.4" x14ac:dyDescent="0.3"/>
  <cols>
    <col min="1" max="1" width="10.6640625" customWidth="1"/>
    <col min="2" max="2" width="20" customWidth="1"/>
    <col min="3" max="3" width="13.5546875" customWidth="1"/>
    <col min="4" max="4" width="13.109375" customWidth="1"/>
    <col min="5" max="5" width="12.109375" customWidth="1"/>
    <col min="7" max="7" width="10.109375" customWidth="1"/>
    <col min="10" max="10" width="10.88671875" customWidth="1"/>
    <col min="11" max="11" width="16.21875" customWidth="1"/>
  </cols>
  <sheetData>
    <row r="1" spans="1:11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2">
        <f>COUNTA(B2:B52)</f>
        <v>51</v>
      </c>
      <c r="J1" s="3" t="s">
        <v>54</v>
      </c>
      <c r="K1" s="3" t="s">
        <v>55</v>
      </c>
    </row>
    <row r="2" spans="1:11" x14ac:dyDescent="0.3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3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3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3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3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3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3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3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3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3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3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3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3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3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3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3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3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3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3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3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3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3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3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3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3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3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3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3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3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3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3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3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3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3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3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3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52" xr:uid="{14590872-9012-453D-92A5-DDE867D37B9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8921-C1E1-4517-8137-50B28686F374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B1" sqref="AB1"/>
    </sheetView>
  </sheetViews>
  <sheetFormatPr defaultRowHeight="14.4" x14ac:dyDescent="0.3"/>
  <sheetData>
    <row r="1" spans="1:52" x14ac:dyDescent="0.3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3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30BA-9641-4007-B6C0-3D50E61AA65C}">
  <dimension ref="A1:D26"/>
  <sheetViews>
    <sheetView tabSelected="1" workbookViewId="0">
      <selection activeCell="A15" sqref="A15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6.109375" bestFit="1" customWidth="1"/>
    <col min="4" max="4" width="9.5546875" customWidth="1"/>
  </cols>
  <sheetData>
    <row r="1" spans="1:4" x14ac:dyDescent="0.3">
      <c r="A1" s="4" t="s">
        <v>59</v>
      </c>
      <c r="B1" t="s">
        <v>60</v>
      </c>
      <c r="C1" t="s">
        <v>56</v>
      </c>
      <c r="D1" t="s">
        <v>57</v>
      </c>
    </row>
    <row r="2" spans="1:4" x14ac:dyDescent="0.3">
      <c r="A2" s="4" t="s">
        <v>40</v>
      </c>
      <c r="B2" t="s">
        <v>61</v>
      </c>
      <c r="C2" s="5">
        <f>VLOOKUP('Sales region lookup'!A2, 'By search term'!B:C, 2, FALSE)</f>
        <v>0.67</v>
      </c>
      <c r="D2" s="5">
        <f>_xlfn.XLOOKUP(A2, 'By search term'!B1:B52, 'By search term'!D1:D52, "not found")</f>
        <v>0.19</v>
      </c>
    </row>
    <row r="3" spans="1:4" x14ac:dyDescent="0.3">
      <c r="A3" t="s">
        <v>36</v>
      </c>
      <c r="B3" t="s">
        <v>61</v>
      </c>
      <c r="C3" s="5">
        <f>VLOOKUP('Sales region lookup'!A3, 'By search term'!B:C, 2, FALSE)</f>
        <v>0.68</v>
      </c>
      <c r="D3" s="5">
        <f>_xlfn.XLOOKUP(A3, 'By search term'!B2:B53, 'By search term'!D2:D53, "not found")</f>
        <v>0.18</v>
      </c>
    </row>
    <row r="4" spans="1:4" x14ac:dyDescent="0.3">
      <c r="A4" t="s">
        <v>20</v>
      </c>
      <c r="B4" t="s">
        <v>61</v>
      </c>
      <c r="C4" s="5">
        <f>VLOOKUP('Sales region lookup'!A4, 'By search term'!B:C, 2, FALSE)</f>
        <v>0.67</v>
      </c>
      <c r="D4" s="5">
        <f>_xlfn.XLOOKUP(A4, 'By search term'!B3:B54, 'By search term'!D3:D54, "not found")</f>
        <v>0.2</v>
      </c>
    </row>
    <row r="5" spans="1:4" x14ac:dyDescent="0.3">
      <c r="A5" t="s">
        <v>49</v>
      </c>
      <c r="B5" t="s">
        <v>61</v>
      </c>
      <c r="C5" s="5">
        <f>VLOOKUP('Sales region lookup'!A5, 'By search term'!B:C, 2, FALSE)</f>
        <v>0.75</v>
      </c>
      <c r="D5" s="5">
        <f>_xlfn.XLOOKUP(A5, 'By search term'!B4:B55, 'By search term'!D4:D55, "not found")</f>
        <v>0.14000000000000001</v>
      </c>
    </row>
    <row r="6" spans="1:4" x14ac:dyDescent="0.3">
      <c r="A6" t="s">
        <v>33</v>
      </c>
      <c r="B6" t="s">
        <v>62</v>
      </c>
      <c r="C6" s="5">
        <f>VLOOKUP('Sales region lookup'!A6, 'By search term'!B:C, 2, FALSE)</f>
        <v>0.69</v>
      </c>
      <c r="D6" s="5">
        <f>_xlfn.XLOOKUP(A6, 'By search term'!B5:B56, 'By search term'!D5:D56, "not found")</f>
        <v>0.19</v>
      </c>
    </row>
    <row r="7" spans="1:4" x14ac:dyDescent="0.3">
      <c r="A7" t="s">
        <v>44</v>
      </c>
      <c r="B7" t="s">
        <v>62</v>
      </c>
      <c r="C7" s="5">
        <f>VLOOKUP('Sales region lookup'!A7, 'By search term'!B:C, 2, FALSE)</f>
        <v>0.76</v>
      </c>
      <c r="D7" s="5">
        <f>_xlfn.XLOOKUP(A7, 'By search term'!B6:B57, 'By search term'!D6:D57, "not found")</f>
        <v>0.14000000000000001</v>
      </c>
    </row>
    <row r="8" spans="1:4" x14ac:dyDescent="0.3">
      <c r="A8" t="s">
        <v>38</v>
      </c>
      <c r="B8" t="s">
        <v>62</v>
      </c>
      <c r="C8" s="5">
        <f>VLOOKUP('Sales region lookup'!A8, 'By search term'!B:C, 2, FALSE)</f>
        <v>0.71</v>
      </c>
      <c r="D8" s="5">
        <f>_xlfn.XLOOKUP(A8, 'By search term'!B7:B58, 'By search term'!D7:D58, "not found")</f>
        <v>0.17</v>
      </c>
    </row>
    <row r="9" spans="1:4" x14ac:dyDescent="0.3">
      <c r="A9" t="s">
        <v>41</v>
      </c>
      <c r="B9" t="s">
        <v>62</v>
      </c>
      <c r="C9" s="5">
        <f>VLOOKUP('Sales region lookup'!A9, 'By search term'!B:C, 2, FALSE)</f>
        <v>0.67</v>
      </c>
      <c r="D9" s="5">
        <f>_xlfn.XLOOKUP(A9, 'By search term'!B8:B59, 'By search term'!D8:D59, "not found")</f>
        <v>0.19</v>
      </c>
    </row>
    <row r="10" spans="1:4" x14ac:dyDescent="0.3">
      <c r="A10" t="s">
        <v>32</v>
      </c>
      <c r="B10" t="s">
        <v>62</v>
      </c>
      <c r="C10" s="5">
        <f>VLOOKUP('Sales region lookup'!A10, 'By search term'!B:C, 2, FALSE)</f>
        <v>0.66</v>
      </c>
      <c r="D10" s="5">
        <f>_xlfn.XLOOKUP(A10, 'By search term'!B9:B60, 'By search term'!D9:D60, "not found")</f>
        <v>0.2</v>
      </c>
    </row>
    <row r="11" spans="1:4" x14ac:dyDescent="0.3">
      <c r="A11" t="s">
        <v>18</v>
      </c>
      <c r="B11" t="s">
        <v>62</v>
      </c>
      <c r="C11" s="5">
        <f>VLOOKUP('Sales region lookup'!A11, 'By search term'!B:C, 2, FALSE)</f>
        <v>0.66</v>
      </c>
      <c r="D11" s="5">
        <f>_xlfn.XLOOKUP(A11, 'By search term'!B10:B61, 'By search term'!D10:D61, "not found")</f>
        <v>0.21</v>
      </c>
    </row>
    <row r="13" spans="1:4" x14ac:dyDescent="0.3">
      <c r="A13" s="6" t="s">
        <v>60</v>
      </c>
      <c r="B13" t="s">
        <v>67</v>
      </c>
    </row>
    <row r="15" spans="1:4" x14ac:dyDescent="0.3">
      <c r="A15" s="6" t="s">
        <v>63</v>
      </c>
      <c r="B15" t="s">
        <v>65</v>
      </c>
      <c r="C15" t="s">
        <v>66</v>
      </c>
    </row>
    <row r="16" spans="1:4" x14ac:dyDescent="0.3">
      <c r="A16" s="7" t="s">
        <v>20</v>
      </c>
      <c r="B16" s="1">
        <v>0.67</v>
      </c>
      <c r="C16" s="1">
        <v>0.2</v>
      </c>
    </row>
    <row r="17" spans="1:3" ht="9" customHeight="1" x14ac:dyDescent="0.3">
      <c r="A17" s="7" t="s">
        <v>18</v>
      </c>
      <c r="B17" s="1">
        <v>0.66</v>
      </c>
      <c r="C17" s="1">
        <v>0.21</v>
      </c>
    </row>
    <row r="18" spans="1:3" hidden="1" x14ac:dyDescent="0.3">
      <c r="A18" s="7" t="s">
        <v>41</v>
      </c>
      <c r="B18" s="1">
        <v>0.67</v>
      </c>
      <c r="C18" s="1">
        <v>0.19</v>
      </c>
    </row>
    <row r="19" spans="1:3" hidden="1" x14ac:dyDescent="0.3">
      <c r="A19" s="7" t="s">
        <v>49</v>
      </c>
      <c r="B19" s="1">
        <v>0.75</v>
      </c>
      <c r="C19" s="1">
        <v>0.14000000000000001</v>
      </c>
    </row>
    <row r="20" spans="1:3" hidden="1" x14ac:dyDescent="0.3">
      <c r="A20" s="7" t="s">
        <v>38</v>
      </c>
      <c r="B20" s="1">
        <v>0.71</v>
      </c>
      <c r="C20" s="1">
        <v>0.17</v>
      </c>
    </row>
    <row r="21" spans="1:3" hidden="1" x14ac:dyDescent="0.3">
      <c r="A21" s="7" t="s">
        <v>33</v>
      </c>
      <c r="B21" s="1">
        <v>0.69</v>
      </c>
      <c r="C21" s="1">
        <v>0.19</v>
      </c>
    </row>
    <row r="22" spans="1:3" hidden="1" x14ac:dyDescent="0.3">
      <c r="A22" s="7" t="s">
        <v>36</v>
      </c>
      <c r="B22" s="1">
        <v>0.68</v>
      </c>
      <c r="C22" s="1">
        <v>0.18</v>
      </c>
    </row>
    <row r="23" spans="1:3" x14ac:dyDescent="0.3">
      <c r="A23" s="7" t="s">
        <v>44</v>
      </c>
      <c r="B23" s="1">
        <v>0.76</v>
      </c>
      <c r="C23" s="1">
        <v>0.14000000000000001</v>
      </c>
    </row>
    <row r="24" spans="1:3" x14ac:dyDescent="0.3">
      <c r="A24" s="7" t="s">
        <v>40</v>
      </c>
      <c r="B24" s="1">
        <v>0.67</v>
      </c>
      <c r="C24" s="1">
        <v>0.19</v>
      </c>
    </row>
    <row r="25" spans="1:3" x14ac:dyDescent="0.3">
      <c r="A25" s="7" t="s">
        <v>32</v>
      </c>
      <c r="B25" s="1">
        <v>0.66</v>
      </c>
      <c r="C25" s="1">
        <v>0.2</v>
      </c>
    </row>
    <row r="26" spans="1:3" x14ac:dyDescent="0.3">
      <c r="A26" s="7" t="s">
        <v>64</v>
      </c>
      <c r="B26" s="1">
        <v>6.92</v>
      </c>
      <c r="C26" s="1">
        <v>1.8099999999999998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 search term</vt:lpstr>
      <vt:lpstr>By state</vt:lpstr>
      <vt:lpstr>Sales region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demy melgar</dc:creator>
  <cp:keywords/>
  <dc:description/>
  <cp:lastModifiedBy>demy melgar</cp:lastModifiedBy>
  <cp:revision/>
  <dcterms:created xsi:type="dcterms:W3CDTF">2026-04-09T00:26:30Z</dcterms:created>
  <dcterms:modified xsi:type="dcterms:W3CDTF">2026-04-13T14:54:14Z</dcterms:modified>
  <cp:category/>
  <cp:contentStatus/>
</cp:coreProperties>
</file>