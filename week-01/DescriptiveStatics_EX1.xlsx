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mymelgar\Documents\DataAnalytics\week-01\"/>
    </mc:Choice>
  </mc:AlternateContent>
  <xr:revisionPtr revIDLastSave="0" documentId="13_ncr:1_{CB8498A7-EFCA-46B3-849E-ECD0817AA5B8}" xr6:coauthVersionLast="47" xr6:coauthVersionMax="47" xr10:uidLastSave="{00000000-0000-0000-0000-000000000000}"/>
  <bookViews>
    <workbookView xWindow="216" yWindow="996" windowWidth="23040" windowHeight="12612" activeTab="1" xr2:uid="{00000000-000D-0000-FFFF-FFFF00000000}"/>
  </bookViews>
  <sheets>
    <sheet name="Sales_Data" sheetId="1" r:id="rId1"/>
    <sheet name="Exerci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 l="1"/>
  <c r="D23" i="1"/>
</calcChain>
</file>

<file path=xl/sharedStrings.xml><?xml version="1.0" encoding="utf-8"?>
<sst xmlns="http://schemas.openxmlformats.org/spreadsheetml/2006/main" count="119" uniqueCount="70">
  <si>
    <t>Order_ID</t>
  </si>
  <si>
    <t>Region</t>
  </si>
  <si>
    <t>Sales_Rep</t>
  </si>
  <si>
    <t>Product_Category</t>
  </si>
  <si>
    <t>Units_Sold</t>
  </si>
  <si>
    <t>Unit_Price</t>
  </si>
  <si>
    <t>Revenue</t>
  </si>
  <si>
    <t>Customer_Rating</t>
  </si>
  <si>
    <t>North</t>
  </si>
  <si>
    <t>Adams</t>
  </si>
  <si>
    <t>Electronics</t>
  </si>
  <si>
    <t>South</t>
  </si>
  <si>
    <t>Brown</t>
  </si>
  <si>
    <t>Furniture</t>
  </si>
  <si>
    <t>East</t>
  </si>
  <si>
    <t>Chen</t>
  </si>
  <si>
    <t>West</t>
  </si>
  <si>
    <t>Diaz</t>
  </si>
  <si>
    <t>Office Supplies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</si>
  <si>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</si>
  <si>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</si>
  <si>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</si>
  <si>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</si>
  <si>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</si>
  <si>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</si>
  <si>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</si>
  <si>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</si>
  <si>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</si>
  <si>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</si>
  <si>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</si>
  <si>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</si>
  <si>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</si>
  <si>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</si>
  <si>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</si>
  <si>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</si>
  <si>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</si>
  <si>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</si>
  <si>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</si>
  <si>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3. What recommendation would you give management?</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</si>
  <si>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</si>
  <si>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</si>
  <si>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</si>
  <si>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</si>
  <si>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</si>
  <si>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</si>
  <si>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</si>
  <si>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</si>
  <si>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</si>
  <si>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</si>
  <si>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Scenario D – Customer Satisfaction</t>
  </si>
  <si>
    <t>Customer ratings represent satisfaction scores from 1 to 5.</t>
  </si>
  <si>
    <t>1. Calculate the average customer rating.</t>
  </si>
  <si>
    <t>2. Identify the minimum and maximum ratings.</t>
  </si>
  <si>
    <t>3. What might management infer about customer satisfaction?</t>
  </si>
  <si>
    <t>Part 3: Interpretation</t>
  </si>
  <si>
    <t>Write a short summary (4–6 sentences) explaining the key insights</t>
  </si>
  <si>
    <t>you discovered from the descriptive statistics.</t>
  </si>
  <si>
    <t>North: 1193, South: 1433.4  , East: 1018.4  , West:  1457</t>
  </si>
  <si>
    <t>The region that performed the best is the West.</t>
  </si>
  <si>
    <t>The recommendation I would give to management would be to focus on the West Region in terms of where to invest more money into.</t>
  </si>
  <si>
    <t>Electronics: 1577.125, Furniture: 1892, Office Supplies: 490.28</t>
  </si>
  <si>
    <t xml:space="preserve">The category that performs the best is Furniture. </t>
  </si>
  <si>
    <t xml:space="preserve">The category that appears the weakest is Office Supplies. </t>
  </si>
  <si>
    <t>Adams: 5965, Brown:7167, Chen: 5092, Diaz: 7285</t>
  </si>
  <si>
    <t xml:space="preserve">The representative that performs the best is Diaz. </t>
  </si>
  <si>
    <t>The factors that might explain this outcome is that Diaz is the West Region which has the highest revenue sales.</t>
  </si>
  <si>
    <t>Min: 3.7 Max: 4.9</t>
  </si>
  <si>
    <t xml:space="preserve">Management might infer about customer satisfaction is overall the company is doing great, there is nothing below a 3.7 rating across all regions. </t>
  </si>
  <si>
    <t xml:space="preserve">Some key insights that I can infer from this chart would be which region is doing better, which sales representatives are performing better but also not necessarily by about of orders. Electronics have the highest revenue sales but not necessarily high volume of product going out. Furniture is doing well but a higher price point might be the factor to this. Overall, a lot of key insighs were made to support this business into its next season. </t>
  </si>
  <si>
    <r>
      <rPr>
        <sz val="11"/>
        <color rgb="FFFF0000"/>
        <rFont val="Calibri"/>
        <family val="2"/>
        <scheme val="minor"/>
      </rPr>
      <t>Business Analytics Exercise</t>
    </r>
    <r>
      <rPr>
        <sz val="11"/>
        <color theme="1"/>
        <rFont val="Calibri"/>
        <family val="2"/>
        <scheme val="minor"/>
      </rPr>
      <t>: Descriptive Statistics   DEMY MELGAR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</si>
</sst>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3"/>
      <name val="Calibri"/>
      <family val="2"/>
      <scheme val="minor"/>
    </font>
    <font>
      <sz val="11"/>
      <color rgb="FF242424"/>
      <name val="Aptos Narrow"/>
      <charset val="1"/>
    </font>
    <font>
      <sz val="11"/>
      <color rgb="FFFF0000"/>
      <name val="Calibri"/>
      <family val="2"/>
      <scheme val="minor"/>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6">
    <xf numFmtId="0" fontId="0" fillId="0" borderId="0" xfId="0"/>
    <xf numFmtId="0" fontId="0" fillId="0" borderId="0" xfId="0" applyAlignment="1">
      <alignment horizontal="center"/>
    </xf>
    <xf numFmtId="0" fontId="1" fillId="0" borderId="1" xfId="1"/>
    <xf numFmtId="0" fontId="2" fillId="0" borderId="0" xfId="0" applyFont="1"/>
    <xf numFmtId="0" fontId="0" fillId="0" borderId="0" xfId="0" applyAlignment="1">
      <alignment wrapText="1"/>
    </xf>
    <xf numFmtId="0" fontId="3" fillId="0" borderId="0" xfId="0" applyFon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workbookViewId="0">
      <selection activeCell="D25" sqref="D25"/>
    </sheetView>
  </sheetViews>
  <sheetFormatPr defaultRowHeight="14.4" x14ac:dyDescent="0.3"/>
  <cols>
    <col min="1" max="1" width="9" bestFit="1" customWidth="1"/>
    <col min="2" max="2" width="7.33203125" bestFit="1" customWidth="1"/>
    <col min="4" max="4" width="16.88671875" bestFit="1" customWidth="1"/>
    <col min="5" max="5" width="10.44140625" bestFit="1" customWidth="1"/>
    <col min="6" max="6" width="10.109375" bestFit="1" customWidth="1"/>
    <col min="7" max="7" width="8.88671875" bestFit="1" customWidth="1"/>
    <col min="8" max="8" width="16.33203125" bestFit="1" customWidth="1"/>
  </cols>
  <sheetData>
    <row r="1" spans="1:8" ht="24" customHeight="1" thickBot="1" x14ac:dyDescent="0.35">
      <c r="A1" s="2" t="s">
        <v>0</v>
      </c>
      <c r="B1" s="2" t="s">
        <v>1</v>
      </c>
      <c r="C1" s="2" t="s">
        <v>2</v>
      </c>
      <c r="D1" s="2" t="s">
        <v>3</v>
      </c>
      <c r="E1" s="2" t="s">
        <v>4</v>
      </c>
      <c r="F1" s="2" t="s">
        <v>5</v>
      </c>
      <c r="G1" s="2" t="s">
        <v>6</v>
      </c>
      <c r="H1" s="2" t="s">
        <v>7</v>
      </c>
    </row>
    <row r="2" spans="1:8" x14ac:dyDescent="0.3">
      <c r="A2" s="1">
        <v>1001</v>
      </c>
      <c r="B2" t="s">
        <v>8</v>
      </c>
      <c r="C2" t="s">
        <v>9</v>
      </c>
      <c r="D2" t="s">
        <v>10</v>
      </c>
      <c r="E2" s="1">
        <v>5</v>
      </c>
      <c r="F2">
        <v>320</v>
      </c>
      <c r="G2">
        <v>1600</v>
      </c>
      <c r="H2" s="1">
        <v>4.5</v>
      </c>
    </row>
    <row r="3" spans="1:8" x14ac:dyDescent="0.3">
      <c r="A3" s="1">
        <v>1002</v>
      </c>
      <c r="B3" t="s">
        <v>11</v>
      </c>
      <c r="C3" t="s">
        <v>12</v>
      </c>
      <c r="D3" t="s">
        <v>13</v>
      </c>
      <c r="E3" s="1">
        <v>2</v>
      </c>
      <c r="F3">
        <v>850</v>
      </c>
      <c r="G3">
        <v>1700</v>
      </c>
      <c r="H3" s="1">
        <v>4.2</v>
      </c>
    </row>
    <row r="4" spans="1:8" x14ac:dyDescent="0.3">
      <c r="A4" s="1">
        <v>1003</v>
      </c>
      <c r="B4" t="s">
        <v>14</v>
      </c>
      <c r="C4" t="s">
        <v>15</v>
      </c>
      <c r="D4" t="s">
        <v>10</v>
      </c>
      <c r="E4" s="1">
        <v>3</v>
      </c>
      <c r="F4">
        <v>300</v>
      </c>
      <c r="G4">
        <v>900</v>
      </c>
      <c r="H4" s="1">
        <v>3.9</v>
      </c>
    </row>
    <row r="5" spans="1:8" x14ac:dyDescent="0.3">
      <c r="A5" s="1">
        <v>1004</v>
      </c>
      <c r="B5" t="s">
        <v>16</v>
      </c>
      <c r="C5" t="s">
        <v>17</v>
      </c>
      <c r="D5" t="s">
        <v>18</v>
      </c>
      <c r="E5" s="1">
        <v>20</v>
      </c>
      <c r="F5">
        <v>25</v>
      </c>
      <c r="G5">
        <v>500</v>
      </c>
      <c r="H5" s="1">
        <v>4.7</v>
      </c>
    </row>
    <row r="6" spans="1:8" x14ac:dyDescent="0.3">
      <c r="A6" s="1">
        <v>1005</v>
      </c>
      <c r="B6" t="s">
        <v>8</v>
      </c>
      <c r="C6" t="s">
        <v>9</v>
      </c>
      <c r="D6" t="s">
        <v>13</v>
      </c>
      <c r="E6" s="1">
        <v>1</v>
      </c>
      <c r="F6">
        <v>1200</v>
      </c>
      <c r="G6">
        <v>1200</v>
      </c>
      <c r="H6" s="1">
        <v>4.0999999999999996</v>
      </c>
    </row>
    <row r="7" spans="1:8" x14ac:dyDescent="0.3">
      <c r="A7" s="1">
        <v>1006</v>
      </c>
      <c r="B7" t="s">
        <v>11</v>
      </c>
      <c r="C7" t="s">
        <v>12</v>
      </c>
      <c r="D7" t="s">
        <v>10</v>
      </c>
      <c r="E7" s="1">
        <v>4</v>
      </c>
      <c r="F7">
        <v>310</v>
      </c>
      <c r="G7">
        <v>1240</v>
      </c>
      <c r="H7" s="1">
        <v>3.8</v>
      </c>
    </row>
    <row r="8" spans="1:8" x14ac:dyDescent="0.3">
      <c r="A8" s="1">
        <v>1007</v>
      </c>
      <c r="B8" t="s">
        <v>14</v>
      </c>
      <c r="C8" t="s">
        <v>15</v>
      </c>
      <c r="D8" t="s">
        <v>18</v>
      </c>
      <c r="E8" s="1">
        <v>15</v>
      </c>
      <c r="F8">
        <v>22</v>
      </c>
      <c r="G8">
        <v>330</v>
      </c>
      <c r="H8" s="1">
        <v>4.5999999999999996</v>
      </c>
    </row>
    <row r="9" spans="1:8" x14ac:dyDescent="0.3">
      <c r="A9" s="1">
        <v>1008</v>
      </c>
      <c r="B9" t="s">
        <v>16</v>
      </c>
      <c r="C9" t="s">
        <v>17</v>
      </c>
      <c r="D9" t="s">
        <v>10</v>
      </c>
      <c r="E9" s="1">
        <v>6</v>
      </c>
      <c r="F9">
        <v>295</v>
      </c>
      <c r="G9">
        <v>1770</v>
      </c>
      <c r="H9" s="1">
        <v>4.4000000000000004</v>
      </c>
    </row>
    <row r="10" spans="1:8" x14ac:dyDescent="0.3">
      <c r="A10" s="1">
        <v>1009</v>
      </c>
      <c r="B10" t="s">
        <v>8</v>
      </c>
      <c r="C10" t="s">
        <v>9</v>
      </c>
      <c r="D10" t="s">
        <v>18</v>
      </c>
      <c r="E10" s="1">
        <v>18</v>
      </c>
      <c r="F10">
        <v>24</v>
      </c>
      <c r="G10">
        <v>432</v>
      </c>
      <c r="H10" s="1">
        <v>4.8</v>
      </c>
    </row>
    <row r="11" spans="1:8" x14ac:dyDescent="0.3">
      <c r="A11" s="1">
        <v>1010</v>
      </c>
      <c r="B11" t="s">
        <v>11</v>
      </c>
      <c r="C11" t="s">
        <v>12</v>
      </c>
      <c r="D11" t="s">
        <v>13</v>
      </c>
      <c r="E11" s="1">
        <v>3</v>
      </c>
      <c r="F11">
        <v>900</v>
      </c>
      <c r="G11">
        <v>2700</v>
      </c>
      <c r="H11" s="1">
        <v>4</v>
      </c>
    </row>
    <row r="12" spans="1:8" x14ac:dyDescent="0.3">
      <c r="A12" s="1">
        <v>1011</v>
      </c>
      <c r="B12" t="s">
        <v>14</v>
      </c>
      <c r="C12" t="s">
        <v>15</v>
      </c>
      <c r="D12" t="s">
        <v>13</v>
      </c>
      <c r="E12" s="1">
        <v>2</v>
      </c>
      <c r="F12">
        <v>950</v>
      </c>
      <c r="G12">
        <v>1900</v>
      </c>
      <c r="H12" s="1">
        <v>4.3</v>
      </c>
    </row>
    <row r="13" spans="1:8" x14ac:dyDescent="0.3">
      <c r="A13" s="1">
        <v>1012</v>
      </c>
      <c r="B13" t="s">
        <v>16</v>
      </c>
      <c r="C13" t="s">
        <v>17</v>
      </c>
      <c r="D13" t="s">
        <v>18</v>
      </c>
      <c r="E13" s="1">
        <v>25</v>
      </c>
      <c r="F13">
        <v>23</v>
      </c>
      <c r="G13">
        <v>575</v>
      </c>
      <c r="H13" s="1">
        <v>4.9000000000000004</v>
      </c>
    </row>
    <row r="14" spans="1:8" x14ac:dyDescent="0.3">
      <c r="A14" s="1">
        <v>1013</v>
      </c>
      <c r="B14" t="s">
        <v>8</v>
      </c>
      <c r="C14" t="s">
        <v>9</v>
      </c>
      <c r="D14" t="s">
        <v>10</v>
      </c>
      <c r="E14" s="1">
        <v>7</v>
      </c>
      <c r="F14">
        <v>315</v>
      </c>
      <c r="G14">
        <v>2205</v>
      </c>
      <c r="H14" s="1">
        <v>4.2</v>
      </c>
    </row>
    <row r="15" spans="1:8" x14ac:dyDescent="0.3">
      <c r="A15" s="1">
        <v>1014</v>
      </c>
      <c r="B15" t="s">
        <v>11</v>
      </c>
      <c r="C15" t="s">
        <v>12</v>
      </c>
      <c r="D15" t="s">
        <v>18</v>
      </c>
      <c r="E15" s="1">
        <v>30</v>
      </c>
      <c r="F15">
        <v>21</v>
      </c>
      <c r="G15">
        <v>630</v>
      </c>
      <c r="H15" s="1">
        <v>4.5999999999999996</v>
      </c>
    </row>
    <row r="16" spans="1:8" x14ac:dyDescent="0.3">
      <c r="A16" s="1">
        <v>1015</v>
      </c>
      <c r="B16" t="s">
        <v>14</v>
      </c>
      <c r="C16" t="s">
        <v>15</v>
      </c>
      <c r="D16" t="s">
        <v>10</v>
      </c>
      <c r="E16" s="1">
        <v>5</v>
      </c>
      <c r="F16">
        <v>305</v>
      </c>
      <c r="G16">
        <v>1525</v>
      </c>
      <c r="H16" s="1">
        <v>4.0999999999999996</v>
      </c>
    </row>
    <row r="17" spans="1:8" x14ac:dyDescent="0.3">
      <c r="A17" s="1">
        <v>1016</v>
      </c>
      <c r="B17" t="s">
        <v>16</v>
      </c>
      <c r="C17" t="s">
        <v>17</v>
      </c>
      <c r="D17" t="s">
        <v>13</v>
      </c>
      <c r="E17" s="1">
        <v>2</v>
      </c>
      <c r="F17">
        <v>980</v>
      </c>
      <c r="G17">
        <v>1960</v>
      </c>
      <c r="H17" s="1">
        <v>3.9</v>
      </c>
    </row>
    <row r="18" spans="1:8" x14ac:dyDescent="0.3">
      <c r="A18" s="1">
        <v>1017</v>
      </c>
      <c r="B18" t="s">
        <v>8</v>
      </c>
      <c r="C18" t="s">
        <v>9</v>
      </c>
      <c r="D18" t="s">
        <v>18</v>
      </c>
      <c r="E18" s="1">
        <v>22</v>
      </c>
      <c r="F18">
        <v>24</v>
      </c>
      <c r="G18">
        <v>528</v>
      </c>
      <c r="H18" s="1">
        <v>4.7</v>
      </c>
    </row>
    <row r="19" spans="1:8" x14ac:dyDescent="0.3">
      <c r="A19" s="1">
        <v>1018</v>
      </c>
      <c r="B19" t="s">
        <v>11</v>
      </c>
      <c r="C19" t="s">
        <v>12</v>
      </c>
      <c r="D19" t="s">
        <v>10</v>
      </c>
      <c r="E19" s="1">
        <v>3</v>
      </c>
      <c r="F19">
        <v>299</v>
      </c>
      <c r="G19">
        <v>897</v>
      </c>
      <c r="H19" s="1">
        <v>3.7</v>
      </c>
    </row>
    <row r="20" spans="1:8" x14ac:dyDescent="0.3">
      <c r="A20" s="1">
        <v>1019</v>
      </c>
      <c r="B20" t="s">
        <v>14</v>
      </c>
      <c r="C20" t="s">
        <v>15</v>
      </c>
      <c r="D20" t="s">
        <v>18</v>
      </c>
      <c r="E20" s="1">
        <v>19</v>
      </c>
      <c r="F20">
        <v>23</v>
      </c>
      <c r="G20">
        <v>437</v>
      </c>
      <c r="H20" s="1">
        <v>4.5</v>
      </c>
    </row>
    <row r="21" spans="1:8" x14ac:dyDescent="0.3">
      <c r="A21" s="1">
        <v>1020</v>
      </c>
      <c r="B21" t="s">
        <v>16</v>
      </c>
      <c r="C21" t="s">
        <v>17</v>
      </c>
      <c r="D21" t="s">
        <v>10</v>
      </c>
      <c r="E21" s="1">
        <v>8</v>
      </c>
      <c r="F21">
        <v>310</v>
      </c>
      <c r="G21">
        <v>2480</v>
      </c>
      <c r="H21" s="1">
        <v>4.4000000000000004</v>
      </c>
    </row>
    <row r="23" spans="1:8" x14ac:dyDescent="0.3">
      <c r="D23">
        <f>SUMIF(C2:C21,"Diaz", G2:G21)</f>
        <v>7285</v>
      </c>
    </row>
    <row r="24" spans="1:8" x14ac:dyDescent="0.3">
      <c r="D24">
        <f>MAX(H2:H21)</f>
        <v>4.9000000000000004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tabSelected="1" workbookViewId="0">
      <selection activeCell="A2" sqref="A2"/>
    </sheetView>
  </sheetViews>
  <sheetFormatPr defaultRowHeight="14.4" x14ac:dyDescent="0.3"/>
  <cols>
    <col min="1" max="1" width="9.33203125" customWidth="1"/>
    <col min="5" max="5" width="30.109375" customWidth="1"/>
    <col min="6" max="6" width="31.44140625" customWidth="1"/>
  </cols>
  <sheetData>
    <row r="1" spans="1:3" x14ac:dyDescent="0.3">
      <c r="A1" t="s">
        <v>69</v>
      </c>
    </row>
    <row r="3" spans="1:3" x14ac:dyDescent="0.3">
      <c r="A3" s="5" t="s">
        <v>19</v>
      </c>
    </row>
    <row r="4" spans="1:3" x14ac:dyDescent="0.3">
      <c r="A4" t="s">
        <v>20</v>
      </c>
    </row>
    <row r="5" spans="1:3" x14ac:dyDescent="0.3">
      <c r="A5" t="s">
        <v>21</v>
      </c>
    </row>
    <row r="6" spans="1:3" x14ac:dyDescent="0.3">
      <c r="A6" t="s">
        <v>22</v>
      </c>
    </row>
    <row r="8" spans="1:3" x14ac:dyDescent="0.3">
      <c r="A8" t="s">
        <v>23</v>
      </c>
    </row>
    <row r="9" spans="1:3" x14ac:dyDescent="0.3">
      <c r="A9" t="s">
        <v>24</v>
      </c>
    </row>
    <row r="11" spans="1:3" x14ac:dyDescent="0.3">
      <c r="A11" s="5" t="s">
        <v>25</v>
      </c>
    </row>
    <row r="12" spans="1:3" x14ac:dyDescent="0.3">
      <c r="A12" t="s">
        <v>26</v>
      </c>
    </row>
    <row r="13" spans="1:3" x14ac:dyDescent="0.3">
      <c r="A13" t="s">
        <v>27</v>
      </c>
      <c r="C13">
        <v>1275.45</v>
      </c>
    </row>
    <row r="14" spans="1:3" x14ac:dyDescent="0.3">
      <c r="A14" t="s">
        <v>28</v>
      </c>
      <c r="C14">
        <v>1220</v>
      </c>
    </row>
    <row r="15" spans="1:3" x14ac:dyDescent="0.3">
      <c r="A15" t="s">
        <v>29</v>
      </c>
      <c r="C15">
        <v>330</v>
      </c>
    </row>
    <row r="16" spans="1:3" x14ac:dyDescent="0.3">
      <c r="A16" t="s">
        <v>30</v>
      </c>
      <c r="C16" s="3">
        <v>2700</v>
      </c>
    </row>
    <row r="17" spans="1:6" x14ac:dyDescent="0.3">
      <c r="A17" t="s">
        <v>31</v>
      </c>
      <c r="C17">
        <v>25509</v>
      </c>
    </row>
    <row r="18" spans="1:6" x14ac:dyDescent="0.3">
      <c r="A18" t="s">
        <v>32</v>
      </c>
      <c r="D18">
        <v>723.26</v>
      </c>
    </row>
    <row r="20" spans="1:6" x14ac:dyDescent="0.3">
      <c r="A20" s="5" t="s">
        <v>33</v>
      </c>
    </row>
    <row r="22" spans="1:6" x14ac:dyDescent="0.3">
      <c r="A22" s="5" t="s">
        <v>34</v>
      </c>
    </row>
    <row r="23" spans="1:6" x14ac:dyDescent="0.3">
      <c r="A23" t="s">
        <v>35</v>
      </c>
    </row>
    <row r="24" spans="1:6" ht="43.2" x14ac:dyDescent="0.3">
      <c r="A24" t="s">
        <v>36</v>
      </c>
      <c r="E24" s="4" t="s">
        <v>57</v>
      </c>
    </row>
    <row r="25" spans="1:6" ht="54" customHeight="1" x14ac:dyDescent="0.3">
      <c r="A25" t="s">
        <v>37</v>
      </c>
      <c r="E25" s="4" t="s">
        <v>58</v>
      </c>
    </row>
    <row r="26" spans="1:6" ht="60.6" customHeight="1" x14ac:dyDescent="0.3">
      <c r="A26" t="s">
        <v>38</v>
      </c>
      <c r="F26" s="4" t="s">
        <v>59</v>
      </c>
    </row>
    <row r="28" spans="1:6" x14ac:dyDescent="0.3">
      <c r="A28" s="5" t="s">
        <v>39</v>
      </c>
    </row>
    <row r="29" spans="1:6" x14ac:dyDescent="0.3">
      <c r="A29" t="s">
        <v>40</v>
      </c>
    </row>
    <row r="30" spans="1:6" ht="46.2" customHeight="1" x14ac:dyDescent="0.3">
      <c r="A30" t="s">
        <v>41</v>
      </c>
      <c r="F30" s="4" t="s">
        <v>60</v>
      </c>
    </row>
    <row r="31" spans="1:6" ht="28.8" x14ac:dyDescent="0.3">
      <c r="A31" t="s">
        <v>42</v>
      </c>
      <c r="F31" s="4" t="s">
        <v>61</v>
      </c>
    </row>
    <row r="32" spans="1:6" ht="30.6" customHeight="1" x14ac:dyDescent="0.3">
      <c r="A32" t="s">
        <v>43</v>
      </c>
      <c r="F32" s="4" t="s">
        <v>62</v>
      </c>
    </row>
    <row r="34" spans="1:6" x14ac:dyDescent="0.3">
      <c r="A34" s="5" t="s">
        <v>44</v>
      </c>
    </row>
    <row r="35" spans="1:6" x14ac:dyDescent="0.3">
      <c r="A35" t="s">
        <v>45</v>
      </c>
    </row>
    <row r="36" spans="1:6" ht="28.8" x14ac:dyDescent="0.3">
      <c r="A36" t="s">
        <v>46</v>
      </c>
      <c r="F36" s="4" t="s">
        <v>63</v>
      </c>
    </row>
    <row r="37" spans="1:6" ht="28.8" x14ac:dyDescent="0.3">
      <c r="A37" t="s">
        <v>47</v>
      </c>
      <c r="F37" s="4" t="s">
        <v>64</v>
      </c>
    </row>
    <row r="38" spans="1:6" ht="57.6" x14ac:dyDescent="0.3">
      <c r="A38" t="s">
        <v>48</v>
      </c>
      <c r="F38" s="4" t="s">
        <v>65</v>
      </c>
    </row>
    <row r="40" spans="1:6" x14ac:dyDescent="0.3">
      <c r="A40" s="5" t="s">
        <v>49</v>
      </c>
    </row>
    <row r="41" spans="1:6" x14ac:dyDescent="0.3">
      <c r="A41" t="s">
        <v>50</v>
      </c>
    </row>
    <row r="42" spans="1:6" x14ac:dyDescent="0.3">
      <c r="A42" t="s">
        <v>51</v>
      </c>
      <c r="F42">
        <v>4.3150000000000004</v>
      </c>
    </row>
    <row r="43" spans="1:6" x14ac:dyDescent="0.3">
      <c r="A43" t="s">
        <v>52</v>
      </c>
      <c r="F43" t="s">
        <v>66</v>
      </c>
    </row>
    <row r="44" spans="1:6" ht="72" x14ac:dyDescent="0.3">
      <c r="A44" t="s">
        <v>53</v>
      </c>
      <c r="F44" s="4" t="s">
        <v>67</v>
      </c>
    </row>
    <row r="46" spans="1:6" x14ac:dyDescent="0.3">
      <c r="A46" s="5" t="s">
        <v>54</v>
      </c>
    </row>
    <row r="47" spans="1:6" ht="187.2" x14ac:dyDescent="0.3">
      <c r="A47" t="s">
        <v>55</v>
      </c>
      <c r="F47" s="4" t="s">
        <v>68</v>
      </c>
    </row>
    <row r="48" spans="1:6" x14ac:dyDescent="0.3">
      <c r="A48"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Sales_Data</vt:lpstr>
      <vt:lpstr>Exercise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demy melgar</cp:lastModifiedBy>
  <cp:revision/>
  <dcterms:created xsi:type="dcterms:W3CDTF">2026-04-07T19:25:39Z</dcterms:created>
  <dcterms:modified xsi:type="dcterms:W3CDTF">2026-04-08T20:28:22Z</dcterms:modified>
  <cp:category/>
  <cp:contentStatus/>
</cp:coreProperties>
</file>